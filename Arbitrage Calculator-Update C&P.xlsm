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nazzikiel\OneDrive\Bittrex\"/>
    </mc:Choice>
  </mc:AlternateContent>
  <xr:revisionPtr revIDLastSave="3" documentId="4D72EB0A39FF97DB79174EE1CD2B040077C32ACE" xr6:coauthVersionLast="43" xr6:coauthVersionMax="43" xr10:uidLastSave="{B35B5543-C726-482A-BAF3-738CAAC0B481}"/>
  <bookViews>
    <workbookView xWindow="28680" yWindow="-120" windowWidth="29040" windowHeight="15840" xr2:uid="{00000000-000D-0000-FFFF-FFFF00000000}"/>
  </bookViews>
  <sheets>
    <sheet name="BTC Markets" sheetId="2" r:id="rId1"/>
    <sheet name="Comparison" sheetId="4" r:id="rId2"/>
  </sheets>
  <externalReferences>
    <externalReference r:id="rId3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7" i="2" l="1"/>
  <c r="C29" i="2" s="1"/>
  <c r="C31" i="2" s="1"/>
  <c r="C32" i="2" s="1"/>
  <c r="C33" i="2" s="1"/>
  <c r="E25" i="2"/>
  <c r="E27" i="2" s="1"/>
  <c r="E29" i="2" s="1"/>
  <c r="E31" i="2" s="1"/>
  <c r="E32" i="2" s="1"/>
  <c r="E33" i="2" s="1"/>
  <c r="E37" i="2"/>
  <c r="K37" i="2" s="1"/>
  <c r="K26" i="2"/>
  <c r="Q26" i="2" s="1"/>
  <c r="I30" i="2"/>
  <c r="O30" i="2" s="1"/>
  <c r="K25" i="2"/>
  <c r="C41" i="2"/>
  <c r="C36" i="2"/>
  <c r="I36" i="2" s="1"/>
  <c r="K27" i="2" l="1"/>
  <c r="K29" i="2" s="1"/>
  <c r="O25" i="2"/>
  <c r="O27" i="2" s="1"/>
  <c r="O29" i="2" s="1"/>
  <c r="O31" i="2" s="1"/>
  <c r="O32" i="2" s="1"/>
  <c r="O33" i="2" s="1"/>
  <c r="I27" i="2"/>
  <c r="I29" i="2" s="1"/>
  <c r="I31" i="2" s="1"/>
  <c r="I32" i="2" s="1"/>
  <c r="I33" i="2" s="1"/>
  <c r="C38" i="2"/>
  <c r="C40" i="2" s="1"/>
  <c r="C42" i="2" s="1"/>
  <c r="C43" i="2" s="1"/>
  <c r="C44" i="2" s="1"/>
  <c r="I38" i="2"/>
  <c r="I40" i="2" s="1"/>
  <c r="K36" i="2"/>
  <c r="K38" i="2" s="1"/>
  <c r="K40" i="2" s="1"/>
  <c r="K42" i="2" s="1"/>
  <c r="K43" i="2" s="1"/>
  <c r="K44" i="2" s="1"/>
  <c r="I41" i="2"/>
  <c r="E36" i="2"/>
  <c r="E38" i="2" s="1"/>
  <c r="E40" i="2" s="1"/>
  <c r="E42" i="2" s="1"/>
  <c r="E43" i="2" s="1"/>
  <c r="E44" i="2" s="1"/>
  <c r="E14" i="2"/>
  <c r="K14" i="2" s="1"/>
  <c r="C18" i="2"/>
  <c r="I18" i="2" s="1"/>
  <c r="C13" i="2"/>
  <c r="C15" i="2" s="1"/>
  <c r="C17" i="2" s="1"/>
  <c r="C4" i="2"/>
  <c r="C6" i="2" s="1"/>
  <c r="C8" i="2" s="1"/>
  <c r="C9" i="2" s="1"/>
  <c r="E2" i="2"/>
  <c r="E4" i="2" s="1"/>
  <c r="E6" i="2" s="1"/>
  <c r="E8" i="2" s="1"/>
  <c r="E9" i="2" s="1"/>
  <c r="I7" i="2"/>
  <c r="O7" i="2" s="1"/>
  <c r="K3" i="2"/>
  <c r="Q3" i="2" s="1"/>
  <c r="K31" i="2" l="1"/>
  <c r="K32" i="2" s="1"/>
  <c r="K33" i="2" s="1"/>
  <c r="Q25" i="2"/>
  <c r="Q27" i="2" s="1"/>
  <c r="Q29" i="2" s="1"/>
  <c r="Q31" i="2" s="1"/>
  <c r="Q32" i="2" s="1"/>
  <c r="Q33" i="2" s="1"/>
  <c r="I42" i="2"/>
  <c r="I43" i="2" s="1"/>
  <c r="I44" i="2" s="1"/>
  <c r="C19" i="2"/>
  <c r="C20" i="2" s="1"/>
  <c r="I13" i="2"/>
  <c r="K13" i="2" s="1"/>
  <c r="K15" i="2" s="1"/>
  <c r="K17" i="2" s="1"/>
  <c r="K19" i="2" s="1"/>
  <c r="K20" i="2" s="1"/>
  <c r="E13" i="2"/>
  <c r="E15" i="2" s="1"/>
  <c r="E17" i="2" s="1"/>
  <c r="E19" i="2" s="1"/>
  <c r="E20" i="2" s="1"/>
  <c r="E3" i="4"/>
  <c r="E4" i="4"/>
  <c r="E5" i="4"/>
  <c r="E6" i="4"/>
  <c r="E2" i="4"/>
  <c r="I2" i="2"/>
  <c r="O2" i="2" s="1"/>
  <c r="C10" i="2"/>
  <c r="O4" i="2" l="1"/>
  <c r="O6" i="2" s="1"/>
  <c r="O8" i="2" s="1"/>
  <c r="O9" i="2" s="1"/>
  <c r="Q2" i="2"/>
  <c r="Q4" i="2" s="1"/>
  <c r="Q6" i="2" s="1"/>
  <c r="Q8" i="2" s="1"/>
  <c r="Q9" i="2" s="1"/>
  <c r="I15" i="2"/>
  <c r="I17" i="2" s="1"/>
  <c r="I19" i="2" s="1"/>
  <c r="I20" i="2" s="1"/>
  <c r="I4" i="2"/>
  <c r="I6" i="2" s="1"/>
  <c r="I8" i="2" s="1"/>
  <c r="I9" i="2" s="1"/>
  <c r="E10" i="2"/>
  <c r="K2" i="2"/>
  <c r="K4" i="2" s="1"/>
  <c r="C21" i="2"/>
  <c r="I10" i="2" l="1"/>
  <c r="I21" i="2"/>
  <c r="O10" i="2"/>
  <c r="K21" i="2"/>
  <c r="E21" i="2"/>
  <c r="K6" i="2" l="1"/>
  <c r="K8" i="2" s="1"/>
  <c r="Q10" i="2"/>
  <c r="K9" i="2" l="1"/>
  <c r="K10" i="2" s="1"/>
</calcChain>
</file>

<file path=xl/sharedStrings.xml><?xml version="1.0" encoding="utf-8"?>
<sst xmlns="http://schemas.openxmlformats.org/spreadsheetml/2006/main" count="225" uniqueCount="99">
  <si>
    <t>AUD Spend</t>
  </si>
  <si>
    <t>Profit</t>
  </si>
  <si>
    <t>AUD to BTC to ETH to AUD</t>
  </si>
  <si>
    <t>AUD to ETH to BTC to AUD</t>
  </si>
  <si>
    <t>ETHEREUM</t>
  </si>
  <si>
    <t>RIPPLE</t>
  </si>
  <si>
    <t>BCASH</t>
  </si>
  <si>
    <t>AUD to BTC to XRP to AUD</t>
  </si>
  <si>
    <t>AUD to XRP to BTC to AUD</t>
  </si>
  <si>
    <t>LITECOIN</t>
  </si>
  <si>
    <t>% Return</t>
  </si>
  <si>
    <t>AUD to BTC to ETC to AUD</t>
  </si>
  <si>
    <t>AUD to ETC to BTC to AUD</t>
  </si>
  <si>
    <t>Total BTC</t>
  </si>
  <si>
    <t>Total XRP</t>
  </si>
  <si>
    <t>Total AUD</t>
  </si>
  <si>
    <t>BTC</t>
  </si>
  <si>
    <t>XRP Sell Price</t>
  </si>
  <si>
    <t>BTC Sell Price</t>
  </si>
  <si>
    <t>XRP to BTC Sell Price</t>
  </si>
  <si>
    <t>ETH Sell Price</t>
  </si>
  <si>
    <t>Total ETH</t>
  </si>
  <si>
    <t>ETH to BTC Sell Price</t>
  </si>
  <si>
    <t>BTC to XRP Sell Price</t>
  </si>
  <si>
    <t>BTC to ETH Sell Price</t>
  </si>
  <si>
    <t>AUD to LTC to BTC to AUD</t>
  </si>
  <si>
    <t>AUD to BTC to LTC to AUD</t>
  </si>
  <si>
    <t>Total LTC</t>
  </si>
  <si>
    <t>LTC Sell Price</t>
  </si>
  <si>
    <t>LTC to BTC Sell Price</t>
  </si>
  <si>
    <t>BTC to LTC Sell Price</t>
  </si>
  <si>
    <t>ETH-CLASSIC</t>
  </si>
  <si>
    <t>ETC Sell Price</t>
  </si>
  <si>
    <t>Total ETC</t>
  </si>
  <si>
    <t>ETC to BTC Sell Price</t>
  </si>
  <si>
    <t>BTC to ETC Sell Price</t>
  </si>
  <si>
    <t>AUD to BCASH to BTC to AUD</t>
  </si>
  <si>
    <t>AUD to BTC to BCASH to AUD</t>
  </si>
  <si>
    <t>BCASH Sell Price</t>
  </si>
  <si>
    <t>Total BCASH</t>
  </si>
  <si>
    <t>BCASH to BTC Sell Price</t>
  </si>
  <si>
    <t>BTC to BCASH Sell Price</t>
  </si>
  <si>
    <t>Name</t>
  </si>
  <si>
    <t>Pair</t>
  </si>
  <si>
    <t>Litecoin</t>
  </si>
  <si>
    <t>Ethereum</t>
  </si>
  <si>
    <t>Eth-Classic</t>
  </si>
  <si>
    <t>Ripple</t>
  </si>
  <si>
    <t>Bcash</t>
  </si>
  <si>
    <t>LTC/BTC</t>
  </si>
  <si>
    <t>ETH/BTC</t>
  </si>
  <si>
    <t>ETC/BTC</t>
  </si>
  <si>
    <t>XRP/BTC</t>
  </si>
  <si>
    <t>BCH/BTC</t>
  </si>
  <si>
    <t>BITTREX</t>
  </si>
  <si>
    <t>DIFFERENCE</t>
  </si>
  <si>
    <t>BTC Buy Price</t>
  </si>
  <si>
    <t>LTC Buy Price</t>
  </si>
  <si>
    <t>BCASH Buy Price</t>
  </si>
  <si>
    <t>ETH Buy Price</t>
  </si>
  <si>
    <t>ETC Buy Price</t>
  </si>
  <si>
    <t>XRP to BTC to AUD to XRP</t>
  </si>
  <si>
    <t>XRP to AUD to BTC to XRP</t>
  </si>
  <si>
    <t>LTC to BTC to AUD to LTC</t>
  </si>
  <si>
    <t>LTC to AUD to BTC to LTC</t>
  </si>
  <si>
    <t>BCH to BTC to AUD to BCH</t>
  </si>
  <si>
    <t>BCH to AUD to BTC to BCH</t>
  </si>
  <si>
    <t>ETH to BTC to AUD to ETH</t>
  </si>
  <si>
    <t>ETH to AUD to BTC to ETH</t>
  </si>
  <si>
    <t>ETC to BTC to AUD to ETC</t>
  </si>
  <si>
    <t>XRP Spend</t>
  </si>
  <si>
    <t>LTC Spend</t>
  </si>
  <si>
    <t>XRP to AUD</t>
  </si>
  <si>
    <t>BTC to AUD</t>
  </si>
  <si>
    <t>AUD to XRP</t>
  </si>
  <si>
    <t>AUD to BTC</t>
  </si>
  <si>
    <t>BTC to XRP</t>
  </si>
  <si>
    <t>XRP to BTC Price</t>
  </si>
  <si>
    <t>LTC to BTC</t>
  </si>
  <si>
    <t>AUD to LTC</t>
  </si>
  <si>
    <t>BTC to LTC</t>
  </si>
  <si>
    <t>LTC to AUD</t>
  </si>
  <si>
    <t>BCH Spend</t>
  </si>
  <si>
    <t>BCH to BTC</t>
  </si>
  <si>
    <t>AUD to BCH</t>
  </si>
  <si>
    <t>Total BCH</t>
  </si>
  <si>
    <t>BTC to BCH</t>
  </si>
  <si>
    <t>BCH to AUD</t>
  </si>
  <si>
    <t>ETH Spend</t>
  </si>
  <si>
    <t>ETH to BTC</t>
  </si>
  <si>
    <t>AUD to ETH</t>
  </si>
  <si>
    <t>ETH to AUD</t>
  </si>
  <si>
    <t>BTC to ETH</t>
  </si>
  <si>
    <t>ETC Spend</t>
  </si>
  <si>
    <t>ETC to BTC</t>
  </si>
  <si>
    <t>AUD to ETC</t>
  </si>
  <si>
    <t>ETC to AUD</t>
  </si>
  <si>
    <t>BTC to ETC</t>
  </si>
  <si>
    <t>ETC to AUD to BTC to ETC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</si>
</sst>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$&quot;#,##0;[Red]\-&quot;$&quot;#,##0"/>
    <numFmt numFmtId="165" formatCode="&quot;$&quot;#,##0.00;[Red]\-&quot;$&quot;#,##0.00"/>
    <numFmt numFmtId="166" formatCode="_-&quot;$&quot;* #,##0.00_-;\-&quot;$&quot;* #,##0.00_-;_-&quot;$&quot;* &quot;-&quot;??_-;_-@_-"/>
    <numFmt numFmtId="167" formatCode="0.0%"/>
    <numFmt numFmtId="168" formatCode="0.00000000"/>
  </numFmts>
  <fonts count="9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0"/>
      <name val="Arial"/>
      <family val="2"/>
    </font>
    <font>
      <b/>
      <sz val="22"/>
      <color theme="0"/>
      <name val="Arial"/>
      <family val="2"/>
    </font>
    <font>
      <sz val="11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7"/>
      <color rgb="FF444342"/>
      <name val="Arial"/>
      <family val="2"/>
    </font>
    <font>
      <sz val="7"/>
      <color rgb="FF444342"/>
      <name val="Arial"/>
      <family val="2"/>
    </font>
    <font>
      <sz val="7"/>
      <color rgb="FF444342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DDDCDC"/>
      </left>
      <right style="medium">
        <color rgb="FFDDDCDC"/>
      </right>
      <top style="medium">
        <color rgb="FFDDDCDC"/>
      </top>
      <bottom style="medium">
        <color rgb="FFDDDCDC"/>
      </bottom>
      <diagonal/>
    </border>
    <border>
      <left style="medium">
        <color rgb="FFDDDCDC"/>
      </left>
      <right style="medium">
        <color rgb="FFDDDCDC"/>
      </right>
      <top/>
      <bottom style="medium">
        <color rgb="FFDDDCDC"/>
      </bottom>
      <diagonal/>
    </border>
    <border>
      <left style="medium">
        <color indexed="64"/>
      </left>
      <right style="medium">
        <color rgb="FFDDDCDC"/>
      </right>
      <top style="medium">
        <color indexed="64"/>
      </top>
      <bottom style="medium">
        <color indexed="64"/>
      </bottom>
      <diagonal/>
    </border>
    <border>
      <left style="medium">
        <color rgb="FFDDDCDC"/>
      </left>
      <right style="medium">
        <color rgb="FFDDDCDC"/>
      </right>
      <top style="medium">
        <color indexed="64"/>
      </top>
      <bottom style="medium">
        <color indexed="64"/>
      </bottom>
      <diagonal/>
    </border>
    <border>
      <left style="medium">
        <color rgb="FFDDDCDC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166" fontId="4" fillId="0" borderId="0" applyFont="0" applyFill="0" applyBorder="0" applyAlignment="0" applyProtection="0"/>
  </cellStyleXfs>
  <cellXfs count="49">
    <xf numFmtId="0" fontId="0" fillId="0" borderId="0" xfId="0"/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165" fontId="1" fillId="2" borderId="6" xfId="0" applyNumberFormat="1" applyFont="1" applyFill="1" applyBorder="1" applyAlignment="1">
      <alignment horizontal="center" vertical="center"/>
    </xf>
    <xf numFmtId="0" fontId="1" fillId="7" borderId="5" xfId="0" applyFont="1" applyFill="1" applyBorder="1" applyAlignment="1">
      <alignment horizontal="center" vertical="center"/>
    </xf>
    <xf numFmtId="166" fontId="1" fillId="7" borderId="6" xfId="2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168" fontId="1" fillId="7" borderId="6" xfId="0" applyNumberFormat="1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164" fontId="1" fillId="7" borderId="4" xfId="0" applyNumberFormat="1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0" fontId="2" fillId="3" borderId="8" xfId="1" applyNumberFormat="1" applyFont="1" applyFill="1" applyBorder="1" applyAlignment="1">
      <alignment horizontal="center" vertical="center"/>
    </xf>
    <xf numFmtId="166" fontId="1" fillId="7" borderId="6" xfId="2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166" fontId="1" fillId="0" borderId="6" xfId="2" applyFont="1" applyBorder="1"/>
    <xf numFmtId="167" fontId="8" fillId="5" borderId="9" xfId="1" applyNumberFormat="1" applyFont="1" applyFill="1" applyBorder="1" applyAlignment="1">
      <alignment horizontal="center" vertical="center" wrapText="1"/>
    </xf>
    <xf numFmtId="0" fontId="8" fillId="5" borderId="9" xfId="0" applyFont="1" applyFill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7" fillId="5" borderId="9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7" fillId="5" borderId="10" xfId="0" applyFont="1" applyFill="1" applyBorder="1" applyAlignment="1">
      <alignment horizontal="center" vertical="center" wrapText="1"/>
    </xf>
    <xf numFmtId="0" fontId="8" fillId="5" borderId="10" xfId="0" applyFont="1" applyFill="1" applyBorder="1" applyAlignment="1">
      <alignment horizontal="center" vertical="center" wrapText="1"/>
    </xf>
    <xf numFmtId="167" fontId="8" fillId="5" borderId="10" xfId="1" applyNumberFormat="1" applyFont="1" applyFill="1" applyBorder="1" applyAlignment="1">
      <alignment horizontal="center" vertical="center" wrapText="1"/>
    </xf>
    <xf numFmtId="0" fontId="6" fillId="4" borderId="11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1" fillId="7" borderId="0" xfId="0" applyFont="1" applyFill="1" applyBorder="1" applyAlignment="1">
      <alignment horizontal="center"/>
    </xf>
    <xf numFmtId="165" fontId="1" fillId="2" borderId="4" xfId="0" applyNumberFormat="1" applyFont="1" applyFill="1" applyBorder="1" applyAlignment="1">
      <alignment horizontal="center" vertical="center"/>
    </xf>
    <xf numFmtId="165" fontId="1" fillId="7" borderId="6" xfId="2" applyNumberFormat="1" applyFont="1" applyFill="1" applyBorder="1" applyAlignment="1">
      <alignment horizontal="center" vertical="center"/>
    </xf>
    <xf numFmtId="165" fontId="1" fillId="7" borderId="6" xfId="2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 vertical="center"/>
    </xf>
    <xf numFmtId="166" fontId="2" fillId="3" borderId="14" xfId="2" applyFont="1" applyFill="1" applyBorder="1" applyAlignment="1">
      <alignment horizontal="center" vertical="center"/>
    </xf>
    <xf numFmtId="164" fontId="1" fillId="0" borderId="4" xfId="0" applyNumberFormat="1" applyFont="1" applyFill="1" applyBorder="1" applyAlignment="1">
      <alignment horizontal="center" vertical="center"/>
    </xf>
    <xf numFmtId="0" fontId="1" fillId="2" borderId="4" xfId="0" applyNumberFormat="1" applyFont="1" applyFill="1" applyBorder="1" applyAlignment="1">
      <alignment horizontal="center" vertical="center"/>
    </xf>
    <xf numFmtId="0" fontId="1" fillId="7" borderId="4" xfId="0" applyNumberFormat="1" applyFont="1" applyFill="1" applyBorder="1" applyAlignment="1">
      <alignment horizontal="center" vertical="center"/>
    </xf>
    <xf numFmtId="168" fontId="8" fillId="5" borderId="10" xfId="0" applyNumberFormat="1" applyFont="1" applyFill="1" applyBorder="1" applyAlignment="1">
      <alignment horizontal="center" vertical="center" wrapText="1"/>
    </xf>
    <xf numFmtId="168" fontId="8" fillId="4" borderId="9" xfId="0" applyNumberFormat="1" applyFont="1" applyFill="1" applyBorder="1" applyAlignment="1">
      <alignment horizontal="center" vertical="center" wrapText="1"/>
    </xf>
    <xf numFmtId="168" fontId="8" fillId="5" borderId="9" xfId="0" applyNumberFormat="1" applyFont="1" applyFill="1" applyBorder="1" applyAlignment="1">
      <alignment horizontal="center" vertical="center" wrapText="1"/>
    </xf>
    <xf numFmtId="0" fontId="3" fillId="3" borderId="0" xfId="0" applyFont="1" applyFill="1" applyBorder="1" applyAlignment="1">
      <alignment horizontal="center" vertical="center" textRotation="90"/>
    </xf>
    <xf numFmtId="0" fontId="5" fillId="9" borderId="1" xfId="0" applyFont="1" applyFill="1" applyBorder="1" applyAlignment="1">
      <alignment horizontal="center"/>
    </xf>
    <xf numFmtId="0" fontId="5" fillId="9" borderId="2" xfId="0" applyFont="1" applyFill="1" applyBorder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8" borderId="2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center"/>
    </xf>
    <xf numFmtId="0" fontId="5" fillId="10" borderId="1" xfId="0" applyFont="1" applyFill="1" applyBorder="1" applyAlignment="1">
      <alignment horizontal="center"/>
    </xf>
    <xf numFmtId="0" fontId="5" fillId="10" borderId="2" xfId="0" applyFont="1" applyFill="1" applyBorder="1" applyAlignment="1">
      <alignment horizontal="center"/>
    </xf>
    <xf numFmtId="0" fontId="5" fillId="11" borderId="1" xfId="0" applyFont="1" applyFill="1" applyBorder="1" applyAlignment="1">
      <alignment horizontal="center"/>
    </xf>
    <xf numFmtId="0" fontId="5" fillId="11" borderId="2" xfId="0" applyFont="1" applyFill="1" applyBorder="1" applyAlignment="1">
      <alignment horizontal="center"/>
    </xf>
  </cellXfs>
  <cellStyles count="3">
    <cellStyle name="Currency" xfId="2" builtinId="4"/>
    <cellStyle name="Normal" xfId="0" builtinId="0"/>
    <cellStyle name="Percent" xfId="1" builtinId="5"/>
  </cellStyles>
  <dxfs count="8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544285</xdr:colOff>
      <xdr:row>11</xdr:row>
      <xdr:rowOff>136071</xdr:rowOff>
    </xdr:from>
    <xdr:to>
      <xdr:col>15</xdr:col>
      <xdr:colOff>721179</xdr:colOff>
      <xdr:row>19</xdr:row>
      <xdr:rowOff>149678</xdr:rowOff>
    </xdr:to>
    <xdr:sp macro="[1]!UpdateSheet" textlink="">
      <xdr:nvSpPr>
        <xdr:cNvPr id="2" name="Rectangle 1">
          <a:extLst>
            <a:ext uri="{FF2B5EF4-FFF2-40B4-BE49-F238E27FC236}">
              <a16:creationId xmlns:a16="http://schemas.microsoft.com/office/drawing/2014/main" id="{7F0F3191-B4E8-45C0-A779-4278A5D1DDEE}"/>
            </a:ext>
          </a:extLst>
        </xdr:cNvPr>
        <xdr:cNvSpPr/>
      </xdr:nvSpPr>
      <xdr:spPr>
        <a:xfrm>
          <a:off x="13103678" y="2326821"/>
          <a:ext cx="2966358" cy="160564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Check Arbitrage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9cd0980f258132d0/Bittrex/Arbitrage%20Calculator-Update%20C&amp;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TC Markets"/>
      <sheetName val="Comparison"/>
      <sheetName val="Arbitrage Calculator-Update C&amp;P"/>
    </sheetNames>
    <definedNames>
      <definedName name="UpdateSheet"/>
    </definedNames>
    <sheetDataSet>
      <sheetData sheetId="0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56E1D-A831-4F55-A966-92987ECAE74C}">
  <sheetPr codeName="Sheet2"/>
  <dimension ref="A1:Q44"/>
  <sheetViews>
    <sheetView showGridLines="0" tabSelected="1" zoomScale="70" zoomScaleNormal="70" workbookViewId="0">
      <selection activeCell="T15" sqref="T15"/>
    </sheetView>
  </sheetViews>
  <sheetFormatPr defaultRowHeight="15" x14ac:dyDescent="0.25"/>
  <cols>
    <col min="1" max="1" width="6.7109375" bestFit="1" customWidth="1"/>
    <col min="2" max="2" width="18.7109375" customWidth="1"/>
    <col min="3" max="3" width="21.5703125" customWidth="1"/>
    <col min="4" max="5" width="18.7109375" customWidth="1"/>
    <col min="6" max="6" width="9.140625" customWidth="1"/>
    <col min="7" max="7" width="6.7109375" bestFit="1" customWidth="1"/>
    <col min="8" max="11" width="18.7109375" customWidth="1"/>
    <col min="12" max="12" width="3.42578125" customWidth="1"/>
    <col min="14" max="14" width="23" bestFit="1" customWidth="1"/>
    <col min="15" max="15" width="18.7109375" customWidth="1"/>
    <col min="16" max="16" width="23" bestFit="1" customWidth="1"/>
    <col min="17" max="17" width="18.7109375" customWidth="1"/>
  </cols>
  <sheetData>
    <row r="1" spans="1:17" ht="18.75" thickBot="1" x14ac:dyDescent="0.3">
      <c r="A1" s="38" t="s">
        <v>5</v>
      </c>
      <c r="B1" s="41" t="s">
        <v>8</v>
      </c>
      <c r="C1" s="42"/>
      <c r="D1" s="41" t="s">
        <v>7</v>
      </c>
      <c r="E1" s="42"/>
      <c r="G1" s="38" t="s">
        <v>9</v>
      </c>
      <c r="H1" s="47" t="s">
        <v>25</v>
      </c>
      <c r="I1" s="48"/>
      <c r="J1" s="47" t="s">
        <v>26</v>
      </c>
      <c r="K1" s="48"/>
      <c r="M1" s="38" t="s">
        <v>6</v>
      </c>
      <c r="N1" s="45" t="s">
        <v>36</v>
      </c>
      <c r="O1" s="46"/>
      <c r="P1" s="45" t="s">
        <v>37</v>
      </c>
      <c r="Q1" s="46"/>
    </row>
    <row r="2" spans="1:17" ht="14.45" customHeight="1" x14ac:dyDescent="0.25">
      <c r="A2" s="38"/>
      <c r="B2" s="6" t="s">
        <v>0</v>
      </c>
      <c r="C2" s="27">
        <v>424.53</v>
      </c>
      <c r="D2" s="8" t="s">
        <v>0</v>
      </c>
      <c r="E2" s="9">
        <f>C2</f>
        <v>424.53</v>
      </c>
      <c r="G2" s="38"/>
      <c r="H2" s="8" t="s">
        <v>0</v>
      </c>
      <c r="I2" s="9">
        <f>C2</f>
        <v>424.53</v>
      </c>
      <c r="J2" s="8" t="s">
        <v>0</v>
      </c>
      <c r="K2" s="9">
        <f>I2</f>
        <v>424.53</v>
      </c>
      <c r="M2" s="38"/>
      <c r="N2" s="8" t="s">
        <v>0</v>
      </c>
      <c r="O2" s="9">
        <f>I2</f>
        <v>424.53</v>
      </c>
      <c r="P2" s="8" t="s">
        <v>0</v>
      </c>
      <c r="Q2" s="9">
        <f>O2</f>
        <v>424.53</v>
      </c>
    </row>
    <row r="3" spans="1:17" x14ac:dyDescent="0.25">
      <c r="A3" s="38"/>
      <c r="B3" s="1" t="s">
        <v>17</v>
      </c>
      <c r="C3" s="3">
        <v>1.08</v>
      </c>
      <c r="D3" s="13" t="s">
        <v>56</v>
      </c>
      <c r="E3" s="3">
        <v>24295</v>
      </c>
      <c r="G3" s="38"/>
      <c r="H3" s="4" t="s">
        <v>57</v>
      </c>
      <c r="I3" s="3">
        <v>422</v>
      </c>
      <c r="J3" s="26" t="s">
        <v>56</v>
      </c>
      <c r="K3" s="12">
        <f>E3</f>
        <v>24295</v>
      </c>
      <c r="M3" s="38"/>
      <c r="N3" s="4" t="s">
        <v>58</v>
      </c>
      <c r="O3" s="3">
        <v>422</v>
      </c>
      <c r="P3" s="26" t="s">
        <v>56</v>
      </c>
      <c r="Q3" s="12">
        <f>K3</f>
        <v>24295</v>
      </c>
    </row>
    <row r="4" spans="1:17" x14ac:dyDescent="0.25">
      <c r="A4" s="38"/>
      <c r="B4" s="4" t="s">
        <v>14</v>
      </c>
      <c r="C4" s="7">
        <f>(C2/C3)*0.994</f>
        <v>390.72483333333327</v>
      </c>
      <c r="D4" s="4" t="s">
        <v>13</v>
      </c>
      <c r="E4" s="7">
        <f>(E2/E3)*0.994</f>
        <v>1.736912204157234E-2</v>
      </c>
      <c r="G4" s="38"/>
      <c r="H4" s="4" t="s">
        <v>27</v>
      </c>
      <c r="I4" s="7">
        <f>(I2/I3)*0.994</f>
        <v>0.99995928909952592</v>
      </c>
      <c r="J4" s="4" t="s">
        <v>13</v>
      </c>
      <c r="K4" s="7">
        <f>(K2/K3)*0.994</f>
        <v>1.736912204157234E-2</v>
      </c>
      <c r="M4" s="38"/>
      <c r="N4" s="4" t="s">
        <v>39</v>
      </c>
      <c r="O4" s="7">
        <f>(O2/O3)*0.994</f>
        <v>0.99995928909952592</v>
      </c>
      <c r="P4" s="4" t="s">
        <v>13</v>
      </c>
      <c r="Q4" s="7">
        <f>(Q2/Q3)*0.994</f>
        <v>1.736912204157234E-2</v>
      </c>
    </row>
    <row r="5" spans="1:17" x14ac:dyDescent="0.25">
      <c r="A5" s="38"/>
      <c r="B5" s="1" t="s">
        <v>19</v>
      </c>
      <c r="C5" s="2">
        <v>4.4490000000000003E-5</v>
      </c>
      <c r="D5" s="13" t="s">
        <v>23</v>
      </c>
      <c r="E5" s="2">
        <v>4.5000000000000003E-5</v>
      </c>
      <c r="G5" s="38"/>
      <c r="H5" s="4" t="s">
        <v>29</v>
      </c>
      <c r="I5" s="2">
        <v>1.66357E-2</v>
      </c>
      <c r="J5" s="26" t="s">
        <v>30</v>
      </c>
      <c r="K5" s="2">
        <v>1.7569999999999999E-2</v>
      </c>
      <c r="M5" s="38"/>
      <c r="N5" s="4" t="s">
        <v>40</v>
      </c>
      <c r="O5" s="2">
        <v>1.66357E-2</v>
      </c>
      <c r="P5" s="26" t="s">
        <v>41</v>
      </c>
      <c r="Q5" s="2">
        <v>1.7569999999999999E-2</v>
      </c>
    </row>
    <row r="6" spans="1:17" x14ac:dyDescent="0.25">
      <c r="A6" s="38"/>
      <c r="B6" s="4" t="s">
        <v>13</v>
      </c>
      <c r="C6" s="7">
        <f>C5*(C4*99.78%)</f>
        <v>1.7345104469762999E-2</v>
      </c>
      <c r="D6" s="4" t="s">
        <v>14</v>
      </c>
      <c r="E6" s="7">
        <f>E4/(E5*99.78%)</f>
        <v>386.83151915485934</v>
      </c>
      <c r="G6" s="38"/>
      <c r="H6" s="4" t="s">
        <v>13</v>
      </c>
      <c r="I6" s="7">
        <f>I5*(I4*99.78%)</f>
        <v>1.6598425695632503E-2</v>
      </c>
      <c r="J6" s="4" t="s">
        <v>27</v>
      </c>
      <c r="K6" s="7">
        <f>K4/(K5*99.78%)</f>
        <v>0.99074663414733477</v>
      </c>
      <c r="M6" s="38"/>
      <c r="N6" s="4" t="s">
        <v>13</v>
      </c>
      <c r="O6" s="7">
        <f>O5*(O4*99.78%)</f>
        <v>1.6598425695632503E-2</v>
      </c>
      <c r="P6" s="4" t="s">
        <v>39</v>
      </c>
      <c r="Q6" s="7">
        <f>Q4/(Q5*99.78%)</f>
        <v>0.99074663414733477</v>
      </c>
    </row>
    <row r="7" spans="1:17" x14ac:dyDescent="0.25">
      <c r="A7" s="38"/>
      <c r="B7" s="1" t="s">
        <v>18</v>
      </c>
      <c r="C7" s="3">
        <v>24200</v>
      </c>
      <c r="D7" s="13" t="s">
        <v>17</v>
      </c>
      <c r="E7" s="14">
        <v>1.1000000000000001</v>
      </c>
      <c r="G7" s="38"/>
      <c r="H7" s="4" t="s">
        <v>18</v>
      </c>
      <c r="I7" s="5">
        <f>C7</f>
        <v>24200</v>
      </c>
      <c r="J7" s="26" t="s">
        <v>28</v>
      </c>
      <c r="K7" s="14">
        <v>422</v>
      </c>
      <c r="M7" s="38"/>
      <c r="N7" s="4" t="s">
        <v>18</v>
      </c>
      <c r="O7" s="5">
        <f>I7</f>
        <v>24200</v>
      </c>
      <c r="P7" s="26" t="s">
        <v>38</v>
      </c>
      <c r="Q7" s="14">
        <v>422</v>
      </c>
    </row>
    <row r="8" spans="1:17" ht="15.75" thickBot="1" x14ac:dyDescent="0.3">
      <c r="A8" s="38"/>
      <c r="B8" s="4" t="s">
        <v>15</v>
      </c>
      <c r="C8" s="12">
        <f>(C7*C6)*99.4%</f>
        <v>417.23301899925508</v>
      </c>
      <c r="D8" s="4" t="s">
        <v>15</v>
      </c>
      <c r="E8" s="12">
        <f>(E7*E6)*99.4%</f>
        <v>422.96158304392327</v>
      </c>
      <c r="G8" s="38"/>
      <c r="H8" s="4" t="s">
        <v>15</v>
      </c>
      <c r="I8" s="12">
        <f>(I7*I6)*99.4%</f>
        <v>399.27181042330079</v>
      </c>
      <c r="J8" s="4" t="s">
        <v>15</v>
      </c>
      <c r="K8" s="12">
        <f>(K7*K6)*99.4%</f>
        <v>415.58650913251427</v>
      </c>
      <c r="M8" s="38"/>
      <c r="N8" s="4" t="s">
        <v>15</v>
      </c>
      <c r="O8" s="12">
        <f>(O7*O6)*99.4%</f>
        <v>399.27181042330079</v>
      </c>
      <c r="P8" s="4" t="s">
        <v>15</v>
      </c>
      <c r="Q8" s="12">
        <f>(Q7*Q6)*99.4%</f>
        <v>415.58650913251427</v>
      </c>
    </row>
    <row r="9" spans="1:17" ht="15.75" thickBot="1" x14ac:dyDescent="0.3">
      <c r="A9" s="38"/>
      <c r="B9" s="30" t="s">
        <v>1</v>
      </c>
      <c r="C9" s="31">
        <f>C8-C2</f>
        <v>-7.2969810007448928</v>
      </c>
      <c r="D9" s="30" t="s">
        <v>1</v>
      </c>
      <c r="E9" s="31">
        <f>E8-E2</f>
        <v>-1.5684169560767032</v>
      </c>
      <c r="G9" s="38"/>
      <c r="H9" s="30" t="s">
        <v>1</v>
      </c>
      <c r="I9" s="31">
        <f>I8-I2</f>
        <v>-25.258189576699181</v>
      </c>
      <c r="J9" s="30" t="s">
        <v>1</v>
      </c>
      <c r="K9" s="31">
        <f>K8-K2</f>
        <v>-8.943490867485707</v>
      </c>
      <c r="M9" s="38"/>
      <c r="N9" s="30" t="s">
        <v>1</v>
      </c>
      <c r="O9" s="31">
        <f>O8-O2</f>
        <v>-25.258189576699181</v>
      </c>
      <c r="P9" s="30" t="s">
        <v>1</v>
      </c>
      <c r="Q9" s="31">
        <f>Q8-Q2</f>
        <v>-8.943490867485707</v>
      </c>
    </row>
    <row r="10" spans="1:17" ht="15.75" thickBot="1" x14ac:dyDescent="0.3">
      <c r="A10" s="38"/>
      <c r="B10" s="10" t="s">
        <v>10</v>
      </c>
      <c r="C10" s="11">
        <f>C9/C2</f>
        <v>-1.7188375381586445E-2</v>
      </c>
      <c r="D10" s="10" t="s">
        <v>10</v>
      </c>
      <c r="E10" s="11">
        <f>E9/E2</f>
        <v>-3.6944784964000267E-3</v>
      </c>
      <c r="G10" s="38"/>
      <c r="H10" s="10" t="s">
        <v>10</v>
      </c>
      <c r="I10" s="11">
        <f>I9/I2</f>
        <v>-5.9496830793346014E-2</v>
      </c>
      <c r="J10" s="10" t="s">
        <v>10</v>
      </c>
      <c r="K10" s="11">
        <f>K9/K2</f>
        <v>-2.1066805331745007E-2</v>
      </c>
      <c r="M10" s="38"/>
      <c r="N10" s="10" t="s">
        <v>10</v>
      </c>
      <c r="O10" s="11">
        <f>O9/O2</f>
        <v>-5.9496830793346014E-2</v>
      </c>
      <c r="P10" s="10" t="s">
        <v>10</v>
      </c>
      <c r="Q10" s="11">
        <f>Q9/Q2</f>
        <v>-2.1066805331745007E-2</v>
      </c>
    </row>
    <row r="11" spans="1:17" ht="15.75" thickBot="1" x14ac:dyDescent="0.3"/>
    <row r="12" spans="1:17" ht="18.75" thickBot="1" x14ac:dyDescent="0.3">
      <c r="A12" s="38" t="s">
        <v>4</v>
      </c>
      <c r="B12" s="43" t="s">
        <v>3</v>
      </c>
      <c r="C12" s="44"/>
      <c r="D12" s="43" t="s">
        <v>2</v>
      </c>
      <c r="E12" s="44"/>
      <c r="G12" s="38" t="s">
        <v>31</v>
      </c>
      <c r="H12" s="39" t="s">
        <v>12</v>
      </c>
      <c r="I12" s="40"/>
      <c r="J12" s="39" t="s">
        <v>11</v>
      </c>
      <c r="K12" s="40"/>
    </row>
    <row r="13" spans="1:17" x14ac:dyDescent="0.25">
      <c r="A13" s="38"/>
      <c r="B13" s="8" t="s">
        <v>0</v>
      </c>
      <c r="C13" s="9">
        <f>C2</f>
        <v>424.53</v>
      </c>
      <c r="D13" s="8" t="s">
        <v>0</v>
      </c>
      <c r="E13" s="9">
        <f>C13</f>
        <v>424.53</v>
      </c>
      <c r="G13" s="38"/>
      <c r="H13" s="8" t="s">
        <v>0</v>
      </c>
      <c r="I13" s="9">
        <f>C13</f>
        <v>424.53</v>
      </c>
      <c r="J13" s="8" t="s">
        <v>0</v>
      </c>
      <c r="K13" s="9">
        <f>I13</f>
        <v>424.53</v>
      </c>
    </row>
    <row r="14" spans="1:17" x14ac:dyDescent="0.25">
      <c r="A14" s="38"/>
      <c r="B14" s="4" t="s">
        <v>59</v>
      </c>
      <c r="C14" s="3">
        <v>422</v>
      </c>
      <c r="D14" s="26" t="s">
        <v>56</v>
      </c>
      <c r="E14" s="29">
        <f>E3</f>
        <v>24295</v>
      </c>
      <c r="G14" s="38"/>
      <c r="H14" s="4" t="s">
        <v>60</v>
      </c>
      <c r="I14" s="3">
        <v>422</v>
      </c>
      <c r="J14" s="26" t="s">
        <v>56</v>
      </c>
      <c r="K14" s="12">
        <f>E14</f>
        <v>24295</v>
      </c>
    </row>
    <row r="15" spans="1:17" x14ac:dyDescent="0.25">
      <c r="A15" s="38"/>
      <c r="B15" s="4" t="s">
        <v>21</v>
      </c>
      <c r="C15" s="7">
        <f>(C13/C14)*0.994</f>
        <v>0.99995928909952592</v>
      </c>
      <c r="D15" s="4" t="s">
        <v>13</v>
      </c>
      <c r="E15" s="7">
        <f>(E13/E14)*0.994</f>
        <v>1.736912204157234E-2</v>
      </c>
      <c r="G15" s="38"/>
      <c r="H15" s="4" t="s">
        <v>33</v>
      </c>
      <c r="I15" s="7">
        <f>(I13/I14)*0.994</f>
        <v>0.99995928909952592</v>
      </c>
      <c r="J15" s="4" t="s">
        <v>13</v>
      </c>
      <c r="K15" s="7">
        <f>(K13/K14)*0.994</f>
        <v>1.736912204157234E-2</v>
      </c>
    </row>
    <row r="16" spans="1:17" x14ac:dyDescent="0.25">
      <c r="A16" s="38"/>
      <c r="B16" s="4" t="s">
        <v>22</v>
      </c>
      <c r="C16" s="2">
        <v>1.66357E-2</v>
      </c>
      <c r="D16" s="26" t="s">
        <v>24</v>
      </c>
      <c r="E16" s="2">
        <v>1.7569999999999999E-2</v>
      </c>
      <c r="G16" s="38"/>
      <c r="H16" s="4" t="s">
        <v>34</v>
      </c>
      <c r="I16" s="2">
        <v>1.66357E-2</v>
      </c>
      <c r="J16" s="26" t="s">
        <v>35</v>
      </c>
      <c r="K16" s="2">
        <v>1.7569999999999999E-2</v>
      </c>
    </row>
    <row r="17" spans="1:17" x14ac:dyDescent="0.25">
      <c r="A17" s="38"/>
      <c r="B17" s="4" t="s">
        <v>13</v>
      </c>
      <c r="C17" s="7">
        <f>C16*(C15*99.78%)</f>
        <v>1.6598425695632503E-2</v>
      </c>
      <c r="D17" s="4" t="s">
        <v>21</v>
      </c>
      <c r="E17" s="7">
        <f>E15/(E16*99.78%)</f>
        <v>0.99074663414733477</v>
      </c>
      <c r="G17" s="38"/>
      <c r="H17" s="4" t="s">
        <v>13</v>
      </c>
      <c r="I17" s="7">
        <f>I16*(I15*99.78%)</f>
        <v>1.6598425695632503E-2</v>
      </c>
      <c r="J17" s="4" t="s">
        <v>33</v>
      </c>
      <c r="K17" s="7">
        <f>K15/(K16*99.78%)</f>
        <v>0.99074663414733477</v>
      </c>
    </row>
    <row r="18" spans="1:17" x14ac:dyDescent="0.25">
      <c r="A18" s="38"/>
      <c r="B18" s="4" t="s">
        <v>18</v>
      </c>
      <c r="C18" s="28">
        <f>C7</f>
        <v>24200</v>
      </c>
      <c r="D18" s="26" t="s">
        <v>20</v>
      </c>
      <c r="E18" s="14">
        <v>422</v>
      </c>
      <c r="G18" s="38"/>
      <c r="H18" s="4" t="s">
        <v>18</v>
      </c>
      <c r="I18" s="5">
        <f>C18</f>
        <v>24200</v>
      </c>
      <c r="J18" s="26" t="s">
        <v>32</v>
      </c>
      <c r="K18" s="14">
        <v>422</v>
      </c>
    </row>
    <row r="19" spans="1:17" ht="15.75" thickBot="1" x14ac:dyDescent="0.3">
      <c r="A19" s="38"/>
      <c r="B19" s="4" t="s">
        <v>15</v>
      </c>
      <c r="C19" s="12">
        <f>(C18*C17)*99.4%</f>
        <v>399.27181042330079</v>
      </c>
      <c r="D19" s="4" t="s">
        <v>15</v>
      </c>
      <c r="E19" s="12">
        <f>(E18*E17)*99.4%</f>
        <v>415.58650913251427</v>
      </c>
      <c r="G19" s="38"/>
      <c r="H19" s="4" t="s">
        <v>15</v>
      </c>
      <c r="I19" s="12">
        <f>(I18*I17)*99.4%</f>
        <v>399.27181042330079</v>
      </c>
      <c r="J19" s="4" t="s">
        <v>15</v>
      </c>
      <c r="K19" s="12">
        <f>(K18*K17)*99.4%</f>
        <v>415.58650913251427</v>
      </c>
    </row>
    <row r="20" spans="1:17" ht="15.75" thickBot="1" x14ac:dyDescent="0.3">
      <c r="A20" s="38"/>
      <c r="B20" s="30" t="s">
        <v>1</v>
      </c>
      <c r="C20" s="31">
        <f>C19-C13</f>
        <v>-25.258189576699181</v>
      </c>
      <c r="D20" s="30" t="s">
        <v>1</v>
      </c>
      <c r="E20" s="31">
        <f>E19-E13</f>
        <v>-8.943490867485707</v>
      </c>
      <c r="G20" s="38"/>
      <c r="H20" s="30" t="s">
        <v>1</v>
      </c>
      <c r="I20" s="31">
        <f>I19-I13</f>
        <v>-25.258189576699181</v>
      </c>
      <c r="J20" s="30" t="s">
        <v>1</v>
      </c>
      <c r="K20" s="31">
        <f>K19-K13</f>
        <v>-8.943490867485707</v>
      </c>
    </row>
    <row r="21" spans="1:17" ht="15.75" thickBot="1" x14ac:dyDescent="0.3">
      <c r="A21" s="38"/>
      <c r="B21" s="10" t="s">
        <v>10</v>
      </c>
      <c r="C21" s="11">
        <f>C20/C13</f>
        <v>-5.9496830793346014E-2</v>
      </c>
      <c r="D21" s="10" t="s">
        <v>10</v>
      </c>
      <c r="E21" s="11">
        <f>E20/E13</f>
        <v>-2.1066805331745007E-2</v>
      </c>
      <c r="G21" s="38"/>
      <c r="H21" s="10" t="s">
        <v>10</v>
      </c>
      <c r="I21" s="11">
        <f>I20/I13</f>
        <v>-5.9496830793346014E-2</v>
      </c>
      <c r="J21" s="10" t="s">
        <v>10</v>
      </c>
      <c r="K21" s="11">
        <f>K20/K13</f>
        <v>-2.1066805331745007E-2</v>
      </c>
    </row>
    <row r="23" spans="1:17" ht="15.75" thickBot="1" x14ac:dyDescent="0.3"/>
    <row r="24" spans="1:17" ht="18.75" customHeight="1" thickBot="1" x14ac:dyDescent="0.3">
      <c r="A24" s="38" t="s">
        <v>5</v>
      </c>
      <c r="B24" s="41" t="s">
        <v>61</v>
      </c>
      <c r="C24" s="42"/>
      <c r="D24" s="41" t="s">
        <v>62</v>
      </c>
      <c r="E24" s="42"/>
      <c r="G24" s="38" t="s">
        <v>9</v>
      </c>
      <c r="H24" s="47" t="s">
        <v>63</v>
      </c>
      <c r="I24" s="48"/>
      <c r="J24" s="47" t="s">
        <v>64</v>
      </c>
      <c r="K24" s="48"/>
      <c r="M24" s="38" t="s">
        <v>6</v>
      </c>
      <c r="N24" s="45" t="s">
        <v>65</v>
      </c>
      <c r="O24" s="46"/>
      <c r="P24" s="45" t="s">
        <v>66</v>
      </c>
      <c r="Q24" s="46"/>
    </row>
    <row r="25" spans="1:17" x14ac:dyDescent="0.25">
      <c r="A25" s="38"/>
      <c r="B25" s="6" t="s">
        <v>70</v>
      </c>
      <c r="C25" s="33">
        <v>1000</v>
      </c>
      <c r="D25" s="8" t="s">
        <v>70</v>
      </c>
      <c r="E25" s="34">
        <f>C25</f>
        <v>1000</v>
      </c>
      <c r="G25" s="38"/>
      <c r="H25" s="8" t="s">
        <v>71</v>
      </c>
      <c r="I25" s="32">
        <v>5</v>
      </c>
      <c r="J25" s="8" t="s">
        <v>71</v>
      </c>
      <c r="K25" s="9">
        <f>I25</f>
        <v>5</v>
      </c>
      <c r="M25" s="38"/>
      <c r="N25" s="8" t="s">
        <v>82</v>
      </c>
      <c r="O25" s="9">
        <f>I25</f>
        <v>5</v>
      </c>
      <c r="P25" s="8" t="s">
        <v>82</v>
      </c>
      <c r="Q25" s="9">
        <f>O25</f>
        <v>5</v>
      </c>
    </row>
    <row r="26" spans="1:17" x14ac:dyDescent="0.25">
      <c r="A26" s="38"/>
      <c r="B26" s="1" t="s">
        <v>77</v>
      </c>
      <c r="C26" s="3">
        <v>1.08</v>
      </c>
      <c r="D26" s="13" t="s">
        <v>72</v>
      </c>
      <c r="E26" s="3">
        <v>24295</v>
      </c>
      <c r="G26" s="38"/>
      <c r="H26" s="4" t="s">
        <v>78</v>
      </c>
      <c r="I26" s="3">
        <v>422</v>
      </c>
      <c r="J26" s="26" t="s">
        <v>81</v>
      </c>
      <c r="K26" s="12">
        <f>E3</f>
        <v>24295</v>
      </c>
      <c r="M26" s="38"/>
      <c r="N26" s="4" t="s">
        <v>83</v>
      </c>
      <c r="O26" s="3">
        <v>422</v>
      </c>
      <c r="P26" s="26" t="s">
        <v>87</v>
      </c>
      <c r="Q26" s="12">
        <f>K26</f>
        <v>24295</v>
      </c>
    </row>
    <row r="27" spans="1:17" x14ac:dyDescent="0.25">
      <c r="A27" s="38"/>
      <c r="B27" s="4" t="s">
        <v>13</v>
      </c>
      <c r="C27" s="7">
        <f>(C25/C26)*0.994</f>
        <v>920.37037037037032</v>
      </c>
      <c r="D27" s="4" t="s">
        <v>15</v>
      </c>
      <c r="E27" s="7">
        <f>(E25/E26)*0.994</f>
        <v>4.0913768265075118E-2</v>
      </c>
      <c r="G27" s="38"/>
      <c r="H27" s="4" t="s">
        <v>13</v>
      </c>
      <c r="I27" s="7">
        <f>(I25/I26)*0.994</f>
        <v>1.1777251184834123E-2</v>
      </c>
      <c r="J27" s="4" t="s">
        <v>15</v>
      </c>
      <c r="K27" s="7">
        <f>(K25/K26)*0.994</f>
        <v>2.0456884132537557E-4</v>
      </c>
      <c r="M27" s="38"/>
      <c r="N27" s="4" t="s">
        <v>13</v>
      </c>
      <c r="O27" s="7">
        <f>(O25/O26)*0.994</f>
        <v>1.1777251184834123E-2</v>
      </c>
      <c r="P27" s="4" t="s">
        <v>15</v>
      </c>
      <c r="Q27" s="7">
        <f>(Q25/Q26)*0.994</f>
        <v>2.0456884132537557E-4</v>
      </c>
    </row>
    <row r="28" spans="1:17" x14ac:dyDescent="0.25">
      <c r="A28" s="38"/>
      <c r="B28" s="1" t="s">
        <v>73</v>
      </c>
      <c r="C28" s="2">
        <v>4.4490000000000003E-5</v>
      </c>
      <c r="D28" s="13" t="s">
        <v>75</v>
      </c>
      <c r="E28" s="2">
        <v>4.5000000000000003E-5</v>
      </c>
      <c r="G28" s="38"/>
      <c r="H28" s="4" t="s">
        <v>73</v>
      </c>
      <c r="I28" s="2">
        <v>1.66357E-2</v>
      </c>
      <c r="J28" s="26" t="s">
        <v>75</v>
      </c>
      <c r="K28" s="2">
        <v>1.7569999999999999E-2</v>
      </c>
      <c r="M28" s="38"/>
      <c r="N28" s="4" t="s">
        <v>73</v>
      </c>
      <c r="O28" s="2">
        <v>1.66357E-2</v>
      </c>
      <c r="P28" s="26" t="s">
        <v>75</v>
      </c>
      <c r="Q28" s="2">
        <v>1.7569999999999999E-2</v>
      </c>
    </row>
    <row r="29" spans="1:17" x14ac:dyDescent="0.25">
      <c r="A29" s="38"/>
      <c r="B29" s="4" t="s">
        <v>15</v>
      </c>
      <c r="C29" s="7">
        <f>C28*(C27*99.78%)</f>
        <v>4.0857193766666668E-2</v>
      </c>
      <c r="D29" s="4" t="s">
        <v>13</v>
      </c>
      <c r="E29" s="7">
        <f>E27/(E28*99.78%)</f>
        <v>911.19948921126741</v>
      </c>
      <c r="G29" s="38"/>
      <c r="H29" s="4" t="s">
        <v>15</v>
      </c>
      <c r="I29" s="7">
        <f>I28*(I27*99.78%)</f>
        <v>1.9549178733696681E-4</v>
      </c>
      <c r="J29" s="4" t="s">
        <v>13</v>
      </c>
      <c r="K29" s="7">
        <f>K27/(K28*99.78%)</f>
        <v>1.1668747016080543E-2</v>
      </c>
      <c r="M29" s="38"/>
      <c r="N29" s="4" t="s">
        <v>15</v>
      </c>
      <c r="O29" s="7">
        <f>O28*(O27*99.78%)</f>
        <v>1.9549178733696681E-4</v>
      </c>
      <c r="P29" s="4" t="s">
        <v>13</v>
      </c>
      <c r="Q29" s="7">
        <f>Q27/(Q28*99.78%)</f>
        <v>1.1668747016080543E-2</v>
      </c>
    </row>
    <row r="30" spans="1:17" x14ac:dyDescent="0.25">
      <c r="A30" s="38"/>
      <c r="B30" s="1" t="s">
        <v>74</v>
      </c>
      <c r="C30" s="3">
        <v>24200</v>
      </c>
      <c r="D30" s="13" t="s">
        <v>76</v>
      </c>
      <c r="E30" s="14">
        <v>1.1000000000000001</v>
      </c>
      <c r="G30" s="38"/>
      <c r="H30" s="4" t="s">
        <v>79</v>
      </c>
      <c r="I30" s="5">
        <f>C30</f>
        <v>24200</v>
      </c>
      <c r="J30" s="26" t="s">
        <v>80</v>
      </c>
      <c r="K30" s="14">
        <v>422</v>
      </c>
      <c r="M30" s="38"/>
      <c r="N30" s="4" t="s">
        <v>84</v>
      </c>
      <c r="O30" s="5">
        <f>I30</f>
        <v>24200</v>
      </c>
      <c r="P30" s="26" t="s">
        <v>86</v>
      </c>
      <c r="Q30" s="14">
        <v>422</v>
      </c>
    </row>
    <row r="31" spans="1:17" ht="15.75" thickBot="1" x14ac:dyDescent="0.3">
      <c r="A31" s="38"/>
      <c r="B31" s="4" t="s">
        <v>14</v>
      </c>
      <c r="C31" s="12">
        <f>(C30*C29)*99.4%</f>
        <v>982.81162461841348</v>
      </c>
      <c r="D31" s="4" t="s">
        <v>14</v>
      </c>
      <c r="E31" s="12">
        <f>(E30*E29)*99.4%</f>
        <v>996.30552150359995</v>
      </c>
      <c r="G31" s="38"/>
      <c r="H31" s="4" t="s">
        <v>27</v>
      </c>
      <c r="I31" s="12">
        <f>(I30*I29)*99.4%</f>
        <v>4.7025158460332701</v>
      </c>
      <c r="J31" s="4" t="s">
        <v>27</v>
      </c>
      <c r="K31" s="12">
        <f>(K30*K29)*99.4%</f>
        <v>4.8946659733412741</v>
      </c>
      <c r="M31" s="38"/>
      <c r="N31" s="4" t="s">
        <v>85</v>
      </c>
      <c r="O31" s="12">
        <f>(O30*O29)*99.4%</f>
        <v>4.7025158460332701</v>
      </c>
      <c r="P31" s="4" t="s">
        <v>85</v>
      </c>
      <c r="Q31" s="12">
        <f>(Q30*Q29)*99.4%</f>
        <v>4.8946659733412741</v>
      </c>
    </row>
    <row r="32" spans="1:17" ht="15.75" thickBot="1" x14ac:dyDescent="0.3">
      <c r="A32" s="38"/>
      <c r="B32" s="30" t="s">
        <v>1</v>
      </c>
      <c r="C32" s="31">
        <f>C31-C25</f>
        <v>-17.188375381586525</v>
      </c>
      <c r="D32" s="30" t="s">
        <v>1</v>
      </c>
      <c r="E32" s="31">
        <f>E31-E25</f>
        <v>-3.6944784964000519</v>
      </c>
      <c r="G32" s="38"/>
      <c r="H32" s="30" t="s">
        <v>1</v>
      </c>
      <c r="I32" s="31">
        <f>I31-I25</f>
        <v>-0.29748415396672989</v>
      </c>
      <c r="J32" s="30" t="s">
        <v>1</v>
      </c>
      <c r="K32" s="31">
        <f>K31-K25</f>
        <v>-0.10533402665872593</v>
      </c>
      <c r="M32" s="38"/>
      <c r="N32" s="30" t="s">
        <v>1</v>
      </c>
      <c r="O32" s="31">
        <f>O31-O25</f>
        <v>-0.29748415396672989</v>
      </c>
      <c r="P32" s="30" t="s">
        <v>1</v>
      </c>
      <c r="Q32" s="31">
        <f>Q31-Q25</f>
        <v>-0.10533402665872593</v>
      </c>
    </row>
    <row r="33" spans="1:17" ht="15.75" thickBot="1" x14ac:dyDescent="0.3">
      <c r="A33" s="38"/>
      <c r="B33" s="10" t="s">
        <v>10</v>
      </c>
      <c r="C33" s="11">
        <f>C32/C25</f>
        <v>-1.7188375381586525E-2</v>
      </c>
      <c r="D33" s="10" t="s">
        <v>10</v>
      </c>
      <c r="E33" s="11">
        <f>E32/E25</f>
        <v>-3.6944784964000519E-3</v>
      </c>
      <c r="G33" s="38"/>
      <c r="H33" s="10" t="s">
        <v>10</v>
      </c>
      <c r="I33" s="11">
        <f>I32/I25</f>
        <v>-5.949683079334598E-2</v>
      </c>
      <c r="J33" s="10" t="s">
        <v>10</v>
      </c>
      <c r="K33" s="11">
        <f>K32/K25</f>
        <v>-2.1066805331745188E-2</v>
      </c>
      <c r="M33" s="38"/>
      <c r="N33" s="10" t="s">
        <v>10</v>
      </c>
      <c r="O33" s="11">
        <f>O32/O25</f>
        <v>-5.949683079334598E-2</v>
      </c>
      <c r="P33" s="10" t="s">
        <v>10</v>
      </c>
      <c r="Q33" s="11">
        <f>Q32/Q25</f>
        <v>-2.1066805331745188E-2</v>
      </c>
    </row>
    <row r="34" spans="1:17" ht="15.75" thickBot="1" x14ac:dyDescent="0.3"/>
    <row r="35" spans="1:17" ht="18.75" thickBot="1" x14ac:dyDescent="0.3">
      <c r="A35" s="38" t="s">
        <v>4</v>
      </c>
      <c r="B35" s="43" t="s">
        <v>67</v>
      </c>
      <c r="C35" s="44"/>
      <c r="D35" s="43" t="s">
        <v>68</v>
      </c>
      <c r="E35" s="44"/>
      <c r="G35" s="38" t="s">
        <v>31</v>
      </c>
      <c r="H35" s="39" t="s">
        <v>69</v>
      </c>
      <c r="I35" s="40"/>
      <c r="J35" s="39" t="s">
        <v>98</v>
      </c>
      <c r="K35" s="40"/>
    </row>
    <row r="36" spans="1:17" x14ac:dyDescent="0.25">
      <c r="A36" s="38"/>
      <c r="B36" s="8" t="s">
        <v>88</v>
      </c>
      <c r="C36" s="9">
        <f>C25</f>
        <v>1000</v>
      </c>
      <c r="D36" s="8" t="s">
        <v>88</v>
      </c>
      <c r="E36" s="9">
        <f>C36</f>
        <v>1000</v>
      </c>
      <c r="G36" s="38"/>
      <c r="H36" s="8" t="s">
        <v>93</v>
      </c>
      <c r="I36" s="9">
        <f>C36</f>
        <v>1000</v>
      </c>
      <c r="J36" s="8" t="s">
        <v>93</v>
      </c>
      <c r="K36" s="9">
        <f>I36</f>
        <v>1000</v>
      </c>
    </row>
    <row r="37" spans="1:17" x14ac:dyDescent="0.25">
      <c r="A37" s="38"/>
      <c r="B37" s="4" t="s">
        <v>89</v>
      </c>
      <c r="C37" s="3">
        <v>422</v>
      </c>
      <c r="D37" s="26" t="s">
        <v>91</v>
      </c>
      <c r="E37" s="29">
        <f>E3</f>
        <v>24295</v>
      </c>
      <c r="G37" s="38"/>
      <c r="H37" s="4" t="s">
        <v>94</v>
      </c>
      <c r="I37" s="3">
        <v>422</v>
      </c>
      <c r="J37" s="26" t="s">
        <v>96</v>
      </c>
      <c r="K37" s="12">
        <f>E37</f>
        <v>24295</v>
      </c>
    </row>
    <row r="38" spans="1:17" x14ac:dyDescent="0.25">
      <c r="A38" s="38"/>
      <c r="B38" s="4" t="s">
        <v>13</v>
      </c>
      <c r="C38" s="7">
        <f>(C36/C37)*0.994</f>
        <v>2.3554502369668247</v>
      </c>
      <c r="D38" s="4" t="s">
        <v>15</v>
      </c>
      <c r="E38" s="7">
        <f>(E36/E37)*0.994</f>
        <v>4.0913768265075118E-2</v>
      </c>
      <c r="G38" s="38"/>
      <c r="H38" s="4" t="s">
        <v>13</v>
      </c>
      <c r="I38" s="7">
        <f>(I36/I37)*0.994</f>
        <v>2.3554502369668247</v>
      </c>
      <c r="J38" s="4" t="s">
        <v>15</v>
      </c>
      <c r="K38" s="7">
        <f>(K36/K37)*0.994</f>
        <v>4.0913768265075118E-2</v>
      </c>
    </row>
    <row r="39" spans="1:17" x14ac:dyDescent="0.25">
      <c r="A39" s="38"/>
      <c r="B39" s="4" t="s">
        <v>73</v>
      </c>
      <c r="C39" s="2">
        <v>1.66357E-2</v>
      </c>
      <c r="D39" s="26" t="s">
        <v>75</v>
      </c>
      <c r="E39" s="2">
        <v>1.7569999999999999E-2</v>
      </c>
      <c r="G39" s="38"/>
      <c r="H39" s="4" t="s">
        <v>73</v>
      </c>
      <c r="I39" s="2">
        <v>1.66357E-2</v>
      </c>
      <c r="J39" s="26" t="s">
        <v>75</v>
      </c>
      <c r="K39" s="2">
        <v>1.7569999999999999E-2</v>
      </c>
    </row>
    <row r="40" spans="1:17" x14ac:dyDescent="0.25">
      <c r="A40" s="38"/>
      <c r="B40" s="4" t="s">
        <v>15</v>
      </c>
      <c r="C40" s="7">
        <f>C39*(C38*99.78%)</f>
        <v>3.909835746739336E-2</v>
      </c>
      <c r="D40" s="4" t="s">
        <v>13</v>
      </c>
      <c r="E40" s="7">
        <f>E38/(E39*99.78%)</f>
        <v>2.333749403216109</v>
      </c>
      <c r="G40" s="38"/>
      <c r="H40" s="4" t="s">
        <v>15</v>
      </c>
      <c r="I40" s="7">
        <f>I39*(I38*99.78%)</f>
        <v>3.909835746739336E-2</v>
      </c>
      <c r="J40" s="4" t="s">
        <v>13</v>
      </c>
      <c r="K40" s="7">
        <f>K38/(K39*99.78%)</f>
        <v>2.333749403216109</v>
      </c>
    </row>
    <row r="41" spans="1:17" x14ac:dyDescent="0.25">
      <c r="A41" s="38"/>
      <c r="B41" s="4" t="s">
        <v>90</v>
      </c>
      <c r="C41" s="28">
        <f>C30</f>
        <v>24200</v>
      </c>
      <c r="D41" s="26" t="s">
        <v>92</v>
      </c>
      <c r="E41" s="14">
        <v>422</v>
      </c>
      <c r="G41" s="38"/>
      <c r="H41" s="4" t="s">
        <v>95</v>
      </c>
      <c r="I41" s="5">
        <f>C41</f>
        <v>24200</v>
      </c>
      <c r="J41" s="26" t="s">
        <v>97</v>
      </c>
      <c r="K41" s="14">
        <v>422</v>
      </c>
    </row>
    <row r="42" spans="1:17" ht="15.75" thickBot="1" x14ac:dyDescent="0.3">
      <c r="A42" s="38"/>
      <c r="B42" s="4" t="s">
        <v>21</v>
      </c>
      <c r="C42" s="12">
        <f>(C41*C40)*99.4%</f>
        <v>940.50316920665387</v>
      </c>
      <c r="D42" s="4" t="s">
        <v>21</v>
      </c>
      <c r="E42" s="12">
        <f>(E41*E40)*99.4%</f>
        <v>978.93319466825494</v>
      </c>
      <c r="G42" s="38"/>
      <c r="H42" s="4" t="s">
        <v>33</v>
      </c>
      <c r="I42" s="12">
        <f>(I41*I40)*99.4%</f>
        <v>940.50316920665387</v>
      </c>
      <c r="J42" s="4" t="s">
        <v>33</v>
      </c>
      <c r="K42" s="12">
        <f>(K41*K40)*99.4%</f>
        <v>978.93319466825494</v>
      </c>
    </row>
    <row r="43" spans="1:17" ht="15.75" thickBot="1" x14ac:dyDescent="0.3">
      <c r="A43" s="38"/>
      <c r="B43" s="30" t="s">
        <v>1</v>
      </c>
      <c r="C43" s="31">
        <f>C42-C36</f>
        <v>-59.496830793346135</v>
      </c>
      <c r="D43" s="30" t="s">
        <v>1</v>
      </c>
      <c r="E43" s="31">
        <f>E42-E36</f>
        <v>-21.066805331745059</v>
      </c>
      <c r="G43" s="38"/>
      <c r="H43" s="30" t="s">
        <v>1</v>
      </c>
      <c r="I43" s="31">
        <f>I42-I36</f>
        <v>-59.496830793346135</v>
      </c>
      <c r="J43" s="30" t="s">
        <v>1</v>
      </c>
      <c r="K43" s="31">
        <f>K42-K36</f>
        <v>-21.066805331745059</v>
      </c>
    </row>
    <row r="44" spans="1:17" ht="15.75" thickBot="1" x14ac:dyDescent="0.3">
      <c r="A44" s="38"/>
      <c r="B44" s="10" t="s">
        <v>10</v>
      </c>
      <c r="C44" s="11">
        <f>C43/C36</f>
        <v>-5.9496830793346132E-2</v>
      </c>
      <c r="D44" s="10" t="s">
        <v>10</v>
      </c>
      <c r="E44" s="11">
        <f>E43/E36</f>
        <v>-2.1066805331745059E-2</v>
      </c>
      <c r="G44" s="38"/>
      <c r="H44" s="10" t="s">
        <v>10</v>
      </c>
      <c r="I44" s="11">
        <f>I43/I36</f>
        <v>-5.9496830793346132E-2</v>
      </c>
      <c r="J44" s="10" t="s">
        <v>10</v>
      </c>
      <c r="K44" s="11">
        <f>K43/K36</f>
        <v>-2.1066805331745059E-2</v>
      </c>
    </row>
  </sheetData>
  <mergeCells count="30">
    <mergeCell ref="M24:M33"/>
    <mergeCell ref="P24:Q24"/>
    <mergeCell ref="H24:I24"/>
    <mergeCell ref="N24:O24"/>
    <mergeCell ref="A35:A44"/>
    <mergeCell ref="B35:C35"/>
    <mergeCell ref="D35:E35"/>
    <mergeCell ref="G35:G44"/>
    <mergeCell ref="H35:I35"/>
    <mergeCell ref="J35:K35"/>
    <mergeCell ref="D24:E24"/>
    <mergeCell ref="J24:K24"/>
    <mergeCell ref="G24:G33"/>
    <mergeCell ref="A24:A33"/>
    <mergeCell ref="B24:C24"/>
    <mergeCell ref="M1:M10"/>
    <mergeCell ref="N1:O1"/>
    <mergeCell ref="P1:Q1"/>
    <mergeCell ref="G1:G10"/>
    <mergeCell ref="H1:I1"/>
    <mergeCell ref="J1:K1"/>
    <mergeCell ref="G12:G21"/>
    <mergeCell ref="H12:I12"/>
    <mergeCell ref="J12:K12"/>
    <mergeCell ref="A1:A10"/>
    <mergeCell ref="D1:E1"/>
    <mergeCell ref="A12:A21"/>
    <mergeCell ref="B12:C12"/>
    <mergeCell ref="D12:E12"/>
    <mergeCell ref="B1:C1"/>
  </mergeCells>
  <conditionalFormatting sqref="C10">
    <cfRule type="cellIs" dxfId="79" priority="229" operator="greaterThan">
      <formula>0</formula>
    </cfRule>
    <cfRule type="cellIs" dxfId="78" priority="230" operator="lessThan">
      <formula>0</formula>
    </cfRule>
  </conditionalFormatting>
  <conditionalFormatting sqref="E10">
    <cfRule type="cellIs" dxfId="77" priority="225" operator="greaterThan">
      <formula>0</formula>
    </cfRule>
    <cfRule type="cellIs" dxfId="76" priority="226" operator="lessThan">
      <formula>0</formula>
    </cfRule>
  </conditionalFormatting>
  <conditionalFormatting sqref="C21">
    <cfRule type="cellIs" dxfId="75" priority="203" operator="greaterThan">
      <formula>0</formula>
    </cfRule>
    <cfRule type="cellIs" dxfId="74" priority="204" operator="lessThan">
      <formula>0</formula>
    </cfRule>
  </conditionalFormatting>
  <conditionalFormatting sqref="E21">
    <cfRule type="cellIs" dxfId="73" priority="199" operator="greaterThan">
      <formula>0</formula>
    </cfRule>
    <cfRule type="cellIs" dxfId="72" priority="200" operator="lessThan">
      <formula>0</formula>
    </cfRule>
  </conditionalFormatting>
  <conditionalFormatting sqref="I10">
    <cfRule type="cellIs" dxfId="71" priority="195" operator="greaterThan">
      <formula>0</formula>
    </cfRule>
    <cfRule type="cellIs" dxfId="70" priority="196" operator="lessThan">
      <formula>0</formula>
    </cfRule>
  </conditionalFormatting>
  <conditionalFormatting sqref="I9">
    <cfRule type="cellIs" dxfId="69" priority="193" operator="greaterThan">
      <formula>0</formula>
    </cfRule>
    <cfRule type="cellIs" dxfId="68" priority="194" operator="lessThan">
      <formula>0</formula>
    </cfRule>
  </conditionalFormatting>
  <conditionalFormatting sqref="K10">
    <cfRule type="cellIs" dxfId="67" priority="191" operator="greaterThan">
      <formula>0</formula>
    </cfRule>
    <cfRule type="cellIs" dxfId="66" priority="192" operator="lessThan">
      <formula>0</formula>
    </cfRule>
  </conditionalFormatting>
  <conditionalFormatting sqref="K9">
    <cfRule type="cellIs" dxfId="65" priority="189" operator="greaterThan">
      <formula>0</formula>
    </cfRule>
    <cfRule type="cellIs" dxfId="64" priority="190" operator="lessThan">
      <formula>0</formula>
    </cfRule>
  </conditionalFormatting>
  <conditionalFormatting sqref="I21">
    <cfRule type="cellIs" dxfId="63" priority="187" operator="greaterThan">
      <formula>0</formula>
    </cfRule>
    <cfRule type="cellIs" dxfId="62" priority="188" operator="lessThan">
      <formula>0</formula>
    </cfRule>
  </conditionalFormatting>
  <conditionalFormatting sqref="K21">
    <cfRule type="cellIs" dxfId="61" priority="183" operator="greaterThan">
      <formula>0</formula>
    </cfRule>
    <cfRule type="cellIs" dxfId="60" priority="184" operator="lessThan">
      <formula>0</formula>
    </cfRule>
  </conditionalFormatting>
  <conditionalFormatting sqref="O10">
    <cfRule type="cellIs" dxfId="59" priority="179" operator="greaterThan">
      <formula>0</formula>
    </cfRule>
    <cfRule type="cellIs" dxfId="58" priority="180" operator="lessThan">
      <formula>0</formula>
    </cfRule>
  </conditionalFormatting>
  <conditionalFormatting sqref="Q10">
    <cfRule type="cellIs" dxfId="57" priority="175" operator="greaterThan">
      <formula>0</formula>
    </cfRule>
    <cfRule type="cellIs" dxfId="56" priority="176" operator="lessThan">
      <formula>0</formula>
    </cfRule>
  </conditionalFormatting>
  <conditionalFormatting sqref="O9">
    <cfRule type="cellIs" dxfId="55" priority="171" operator="greaterThan">
      <formula>0</formula>
    </cfRule>
    <cfRule type="cellIs" dxfId="54" priority="172" operator="lessThan">
      <formula>0</formula>
    </cfRule>
  </conditionalFormatting>
  <conditionalFormatting sqref="Q9">
    <cfRule type="cellIs" dxfId="53" priority="169" operator="greaterThan">
      <formula>0</formula>
    </cfRule>
    <cfRule type="cellIs" dxfId="52" priority="170" operator="lessThan">
      <formula>0</formula>
    </cfRule>
  </conditionalFormatting>
  <conditionalFormatting sqref="I20">
    <cfRule type="cellIs" dxfId="51" priority="167" operator="greaterThan">
      <formula>0</formula>
    </cfRule>
    <cfRule type="cellIs" dxfId="50" priority="168" operator="lessThan">
      <formula>0</formula>
    </cfRule>
  </conditionalFormatting>
  <conditionalFormatting sqref="K20">
    <cfRule type="cellIs" dxfId="49" priority="165" operator="greaterThan">
      <formula>0</formula>
    </cfRule>
    <cfRule type="cellIs" dxfId="48" priority="166" operator="lessThan">
      <formula>0</formula>
    </cfRule>
  </conditionalFormatting>
  <conditionalFormatting sqref="C20">
    <cfRule type="cellIs" dxfId="47" priority="163" operator="greaterThan">
      <formula>0</formula>
    </cfRule>
    <cfRule type="cellIs" dxfId="46" priority="164" operator="lessThan">
      <formula>0</formula>
    </cfRule>
  </conditionalFormatting>
  <conditionalFormatting sqref="E20">
    <cfRule type="cellIs" dxfId="45" priority="161" operator="greaterThan">
      <formula>0</formula>
    </cfRule>
    <cfRule type="cellIs" dxfId="44" priority="162" operator="lessThan">
      <formula>0</formula>
    </cfRule>
  </conditionalFormatting>
  <conditionalFormatting sqref="E9">
    <cfRule type="cellIs" dxfId="43" priority="159" operator="greaterThan">
      <formula>0</formula>
    </cfRule>
    <cfRule type="cellIs" dxfId="42" priority="160" operator="lessThan">
      <formula>0</formula>
    </cfRule>
  </conditionalFormatting>
  <conditionalFormatting sqref="C9">
    <cfRule type="cellIs" dxfId="41" priority="157" operator="greaterThan">
      <formula>0</formula>
    </cfRule>
    <cfRule type="cellIs" dxfId="40" priority="158" operator="lessThan">
      <formula>0</formula>
    </cfRule>
  </conditionalFormatting>
  <conditionalFormatting sqref="C33">
    <cfRule type="cellIs" dxfId="39" priority="155" operator="greaterThan">
      <formula>0</formula>
    </cfRule>
    <cfRule type="cellIs" dxfId="38" priority="156" operator="lessThan">
      <formula>0</formula>
    </cfRule>
  </conditionalFormatting>
  <conditionalFormatting sqref="C44">
    <cfRule type="cellIs" dxfId="37" priority="151" operator="greaterThan">
      <formula>0</formula>
    </cfRule>
    <cfRule type="cellIs" dxfId="36" priority="152" operator="lessThan">
      <formula>0</formula>
    </cfRule>
  </conditionalFormatting>
  <conditionalFormatting sqref="E44">
    <cfRule type="cellIs" dxfId="35" priority="149" operator="greaterThan">
      <formula>0</formula>
    </cfRule>
    <cfRule type="cellIs" dxfId="34" priority="150" operator="lessThan">
      <formula>0</formula>
    </cfRule>
  </conditionalFormatting>
  <conditionalFormatting sqref="I44">
    <cfRule type="cellIs" dxfId="33" priority="139" operator="greaterThan">
      <formula>0</formula>
    </cfRule>
    <cfRule type="cellIs" dxfId="32" priority="140" operator="lessThan">
      <formula>0</formula>
    </cfRule>
  </conditionalFormatting>
  <conditionalFormatting sqref="K44">
    <cfRule type="cellIs" dxfId="31" priority="137" operator="greaterThan">
      <formula>0</formula>
    </cfRule>
    <cfRule type="cellIs" dxfId="30" priority="138" operator="lessThan">
      <formula>0</formula>
    </cfRule>
  </conditionalFormatting>
  <conditionalFormatting sqref="I43">
    <cfRule type="cellIs" dxfId="29" priority="127" operator="greaterThan">
      <formula>0</formula>
    </cfRule>
    <cfRule type="cellIs" dxfId="28" priority="128" operator="lessThan">
      <formula>0</formula>
    </cfRule>
  </conditionalFormatting>
  <conditionalFormatting sqref="K43">
    <cfRule type="cellIs" dxfId="27" priority="125" operator="greaterThan">
      <formula>0</formula>
    </cfRule>
    <cfRule type="cellIs" dxfId="26" priority="126" operator="lessThan">
      <formula>0</formula>
    </cfRule>
  </conditionalFormatting>
  <conditionalFormatting sqref="C43">
    <cfRule type="cellIs" dxfId="25" priority="123" operator="greaterThan">
      <formula>0</formula>
    </cfRule>
    <cfRule type="cellIs" dxfId="24" priority="124" operator="lessThan">
      <formula>0</formula>
    </cfRule>
  </conditionalFormatting>
  <conditionalFormatting sqref="E43">
    <cfRule type="cellIs" dxfId="23" priority="121" operator="greaterThan">
      <formula>0</formula>
    </cfRule>
    <cfRule type="cellIs" dxfId="22" priority="122" operator="lessThan">
      <formula>0</formula>
    </cfRule>
  </conditionalFormatting>
  <conditionalFormatting sqref="C32">
    <cfRule type="cellIs" dxfId="21" priority="117" operator="greaterThan">
      <formula>0</formula>
    </cfRule>
    <cfRule type="cellIs" dxfId="20" priority="118" operator="lessThan">
      <formula>0</formula>
    </cfRule>
  </conditionalFormatting>
  <conditionalFormatting sqref="O33">
    <cfRule type="cellIs" dxfId="19" priority="7" operator="greaterThan">
      <formula>0</formula>
    </cfRule>
    <cfRule type="cellIs" dxfId="18" priority="8" operator="lessThan">
      <formula>0</formula>
    </cfRule>
  </conditionalFormatting>
  <conditionalFormatting sqref="Q33">
    <cfRule type="cellIs" dxfId="17" priority="5" operator="greaterThan">
      <formula>0</formula>
    </cfRule>
    <cfRule type="cellIs" dxfId="16" priority="6" operator="lessThan">
      <formula>0</formula>
    </cfRule>
  </conditionalFormatting>
  <conditionalFormatting sqref="E33">
    <cfRule type="cellIs" dxfId="15" priority="19" operator="greaterThan">
      <formula>0</formula>
    </cfRule>
    <cfRule type="cellIs" dxfId="14" priority="20" operator="lessThan">
      <formula>0</formula>
    </cfRule>
  </conditionalFormatting>
  <conditionalFormatting sqref="E32">
    <cfRule type="cellIs" dxfId="13" priority="17" operator="greaterThan">
      <formula>0</formula>
    </cfRule>
    <cfRule type="cellIs" dxfId="12" priority="18" operator="lessThan">
      <formula>0</formula>
    </cfRule>
  </conditionalFormatting>
  <conditionalFormatting sqref="I33">
    <cfRule type="cellIs" dxfId="11" priority="15" operator="greaterThan">
      <formula>0</formula>
    </cfRule>
    <cfRule type="cellIs" dxfId="10" priority="16" operator="lessThan">
      <formula>0</formula>
    </cfRule>
  </conditionalFormatting>
  <conditionalFormatting sqref="I32">
    <cfRule type="cellIs" dxfId="9" priority="13" operator="greaterThan">
      <formula>0</formula>
    </cfRule>
    <cfRule type="cellIs" dxfId="8" priority="14" operator="lessThan">
      <formula>0</formula>
    </cfRule>
  </conditionalFormatting>
  <conditionalFormatting sqref="K33">
    <cfRule type="cellIs" dxfId="7" priority="11" operator="greaterThan">
      <formula>0</formula>
    </cfRule>
    <cfRule type="cellIs" dxfId="6" priority="12" operator="lessThan">
      <formula>0</formula>
    </cfRule>
  </conditionalFormatting>
  <conditionalFormatting sqref="K32">
    <cfRule type="cellIs" dxfId="5" priority="9" operator="greaterThan">
      <formula>0</formula>
    </cfRule>
    <cfRule type="cellIs" dxfId="4" priority="10" operator="lessThan">
      <formula>0</formula>
    </cfRule>
  </conditionalFormatting>
  <conditionalFormatting sqref="O32">
    <cfRule type="cellIs" dxfId="3" priority="3" operator="greaterThan">
      <formula>0</formula>
    </cfRule>
    <cfRule type="cellIs" dxfId="2" priority="4" operator="lessThan">
      <formula>0</formula>
    </cfRule>
  </conditionalFormatting>
  <conditionalFormatting sqref="Q32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B1D74-4DC6-4350-A8A7-78DE38400F55}">
  <sheetPr codeName="Sheet1"/>
  <dimension ref="A1:E6"/>
  <sheetViews>
    <sheetView showGridLines="0" workbookViewId="0">
      <selection activeCell="C2" sqref="C2"/>
    </sheetView>
  </sheetViews>
  <sheetFormatPr defaultRowHeight="15" x14ac:dyDescent="0.25"/>
  <cols>
    <col min="1" max="1" width="7.7109375" bestFit="1" customWidth="1"/>
    <col min="3" max="3" width="12.42578125" bestFit="1" customWidth="1"/>
    <col min="4" max="4" width="10.7109375" customWidth="1"/>
    <col min="5" max="5" width="11.140625" bestFit="1" customWidth="1"/>
  </cols>
  <sheetData>
    <row r="1" spans="1:5" ht="15.75" thickBot="1" x14ac:dyDescent="0.3">
      <c r="A1" s="23" t="s">
        <v>42</v>
      </c>
      <c r="B1" s="24" t="s">
        <v>43</v>
      </c>
      <c r="C1" s="24" t="s">
        <v>16</v>
      </c>
      <c r="D1" s="24" t="s">
        <v>54</v>
      </c>
      <c r="E1" s="25" t="s">
        <v>55</v>
      </c>
    </row>
    <row r="2" spans="1:5" ht="15.75" thickBot="1" x14ac:dyDescent="0.3">
      <c r="A2" s="20" t="s">
        <v>44</v>
      </c>
      <c r="B2" s="21" t="s">
        <v>49</v>
      </c>
      <c r="C2" s="35">
        <v>1.7049999999999999E-2</v>
      </c>
      <c r="D2" s="35">
        <v>1.4307210000000001E-2</v>
      </c>
      <c r="E2" s="22">
        <f>D2-C2</f>
        <v>-2.7427899999999984E-3</v>
      </c>
    </row>
    <row r="3" spans="1:5" ht="15.75" thickBot="1" x14ac:dyDescent="0.3">
      <c r="A3" s="19" t="s">
        <v>45</v>
      </c>
      <c r="B3" s="17" t="s">
        <v>50</v>
      </c>
      <c r="C3" s="36">
        <v>3.6380999999999997E-2</v>
      </c>
      <c r="D3" s="36">
        <v>3.9860909999999999E-2</v>
      </c>
      <c r="E3" s="15">
        <f t="shared" ref="E3:E6" si="0">D3-C3</f>
        <v>3.4799100000000027E-3</v>
      </c>
    </row>
    <row r="4" spans="1:5" ht="18.75" thickBot="1" x14ac:dyDescent="0.3">
      <c r="A4" s="18" t="s">
        <v>46</v>
      </c>
      <c r="B4" s="16" t="s">
        <v>51</v>
      </c>
      <c r="C4" s="37">
        <v>1.9989999999999999E-3</v>
      </c>
      <c r="D4" s="37">
        <v>2.0459200000000001E-3</v>
      </c>
      <c r="E4" s="15">
        <f t="shared" si="0"/>
        <v>4.6920000000000208E-5</v>
      </c>
    </row>
    <row r="5" spans="1:5" ht="15.75" thickBot="1" x14ac:dyDescent="0.3">
      <c r="A5" s="19" t="s">
        <v>47</v>
      </c>
      <c r="B5" s="17" t="s">
        <v>52</v>
      </c>
      <c r="C5" s="36">
        <v>4.1499999999999999E-5</v>
      </c>
      <c r="D5" s="36">
        <v>4.2960000000000002E-5</v>
      </c>
      <c r="E5" s="15">
        <f t="shared" si="0"/>
        <v>1.460000000000003E-6</v>
      </c>
    </row>
    <row r="6" spans="1:5" ht="15.75" thickBot="1" x14ac:dyDescent="0.3">
      <c r="A6" s="18" t="s">
        <v>48</v>
      </c>
      <c r="B6" s="16" t="s">
        <v>53</v>
      </c>
      <c r="C6" s="37">
        <v>9.1001499999999999E-2</v>
      </c>
      <c r="D6" s="37">
        <v>0.10348362999999999</v>
      </c>
      <c r="E6" s="15">
        <f t="shared" si="0"/>
        <v>1.2482129999999994E-2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BTC Markets</vt:lpstr>
      <vt:lpstr>Comparison</vt:lpstr>
    </vt:vector>
  </TitlesOfParts>
  <Company>Colgate-Palmolive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Azzi</dc:creator>
  <cp:lastModifiedBy>Snazzikiel</cp:lastModifiedBy>
  <dcterms:created xsi:type="dcterms:W3CDTF">2017-12-14T21:22:42Z</dcterms:created>
  <dcterms:modified xsi:type="dcterms:W3CDTF">2019-05-15T13:37:24Z</dcterms:modified>
</cp:coreProperties>
</file>